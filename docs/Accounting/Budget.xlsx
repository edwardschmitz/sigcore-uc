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111cb8a18b92d/Documents/GitHub/sigcore-uc/docs/Accounting/"/>
    </mc:Choice>
  </mc:AlternateContent>
  <xr:revisionPtr revIDLastSave="153" documentId="8_{FD4745A4-D688-4AFE-AA8B-4A4F437596B3}" xr6:coauthVersionLast="47" xr6:coauthVersionMax="47" xr10:uidLastSave="{942547C1-7888-44C2-B8D1-BBB2AE19DBD2}"/>
  <bookViews>
    <workbookView xWindow="-108" yWindow="-108" windowWidth="30936" windowHeight="16896" xr2:uid="{FCA41756-7795-4DC5-9E7C-C43114EF0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B69" i="1"/>
  <c r="B72" i="1" s="1"/>
  <c r="B55" i="1"/>
  <c r="B51" i="1"/>
  <c r="B56" i="1" s="1"/>
  <c r="D30" i="1"/>
  <c r="D29" i="1"/>
  <c r="D40" i="1"/>
  <c r="D41" i="1"/>
  <c r="D42" i="1"/>
  <c r="B58" i="1" l="1"/>
  <c r="E42" i="1"/>
  <c r="D16" i="1"/>
  <c r="D12" i="1"/>
  <c r="D15" i="1"/>
  <c r="D3" i="1"/>
  <c r="D26" i="1"/>
  <c r="D27" i="1"/>
  <c r="D28" i="1"/>
  <c r="D31" i="1"/>
  <c r="D32" i="1"/>
  <c r="D33" i="1"/>
  <c r="D34" i="1"/>
  <c r="D35" i="1"/>
  <c r="D36" i="1"/>
  <c r="D37" i="1"/>
  <c r="D6" i="1"/>
  <c r="D4" i="1"/>
  <c r="D5" i="1"/>
  <c r="D17" i="1"/>
  <c r="D20" i="1"/>
  <c r="D21" i="1"/>
  <c r="D22" i="1"/>
  <c r="D23" i="1"/>
  <c r="D7" i="1"/>
  <c r="E44" i="1" l="1"/>
  <c r="E23" i="1"/>
  <c r="E17" i="1"/>
  <c r="E37" i="1"/>
  <c r="E12" i="1"/>
  <c r="B52" i="1" l="1"/>
  <c r="B57" i="1" s="1"/>
  <c r="B73" i="1"/>
  <c r="B74" i="1" s="1"/>
</calcChain>
</file>

<file path=xl/sharedStrings.xml><?xml version="1.0" encoding="utf-8"?>
<sst xmlns="http://schemas.openxmlformats.org/spreadsheetml/2006/main" count="63" uniqueCount="62">
  <si>
    <t>Part</t>
  </si>
  <si>
    <t>Price</t>
  </si>
  <si>
    <t>Qnty</t>
  </si>
  <si>
    <t>Ext Price</t>
  </si>
  <si>
    <t>Raspbery Pi 4B</t>
  </si>
  <si>
    <t>USB-C Male adapter</t>
  </si>
  <si>
    <t>32GB Flash Card microSD</t>
  </si>
  <si>
    <t>5VDC switching power supply, 10A</t>
  </si>
  <si>
    <t>USB Cable</t>
  </si>
  <si>
    <t>Power Cable</t>
  </si>
  <si>
    <t>2 Pin Screw Terminals</t>
  </si>
  <si>
    <t>3 Pin Screw Terminals</t>
  </si>
  <si>
    <t>4 Pin Screw Terminals</t>
  </si>
  <si>
    <t>8 Pin Screw Terminals</t>
  </si>
  <si>
    <t>Enclosure</t>
  </si>
  <si>
    <t>Overlay</t>
  </si>
  <si>
    <t>3D Parts</t>
  </si>
  <si>
    <t>screws</t>
  </si>
  <si>
    <t>threaded inserts</t>
  </si>
  <si>
    <t>On/Off button</t>
  </si>
  <si>
    <t>Reset button</t>
  </si>
  <si>
    <t>Power connector</t>
  </si>
  <si>
    <t>USB connector</t>
  </si>
  <si>
    <t>Ethernet connector</t>
  </si>
  <si>
    <t>Cooling Fan</t>
  </si>
  <si>
    <t>Patch Panel</t>
  </si>
  <si>
    <t>SBC</t>
  </si>
  <si>
    <t>Relay 120VAC / 10Amps</t>
  </si>
  <si>
    <t>Accessories</t>
  </si>
  <si>
    <t>Ethernet Cable</t>
  </si>
  <si>
    <t>Sub Total</t>
  </si>
  <si>
    <t>Packaging</t>
  </si>
  <si>
    <t>Box</t>
  </si>
  <si>
    <t>Padding</t>
  </si>
  <si>
    <t>Stickers</t>
  </si>
  <si>
    <t>PCB</t>
  </si>
  <si>
    <t>Small Panels</t>
  </si>
  <si>
    <t>Large Panels</t>
  </si>
  <si>
    <t>Retail Price</t>
  </si>
  <si>
    <t>Wholesale Price</t>
  </si>
  <si>
    <t>Per Unit Profit</t>
  </si>
  <si>
    <t>Retail</t>
  </si>
  <si>
    <t>Total Profit</t>
  </si>
  <si>
    <t>Number of Units</t>
  </si>
  <si>
    <t>Mouser Profit</t>
  </si>
  <si>
    <t>Parts prep (trimming, sorting)</t>
  </si>
  <si>
    <t>PCB population (headers, etc.)</t>
  </si>
  <si>
    <t>Mounting components / panels</t>
  </si>
  <si>
    <t>Final assembly &amp; enclosure</t>
  </si>
  <si>
    <t>Testing / flashing / burn-in</t>
  </si>
  <si>
    <t>Packing (labeling, padding, boxing)</t>
  </si>
  <si>
    <t>Labor cost</t>
  </si>
  <si>
    <t>Total Labor / Unit</t>
  </si>
  <si>
    <t>Adjust Cost w/ Labor</t>
  </si>
  <si>
    <t>Adjusted Profit</t>
  </si>
  <si>
    <t>minutes</t>
  </si>
  <si>
    <t>$/hour/unit</t>
  </si>
  <si>
    <t>parts+labor</t>
  </si>
  <si>
    <t>35V power supply</t>
  </si>
  <si>
    <t>SMF33A</t>
  </si>
  <si>
    <t>SMBJ30A</t>
  </si>
  <si>
    <t>PESD5V0S1BA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</si>
</sst>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86FA-656F-4988-89DD-F6BC1B3C8FCC}">
  <dimension ref="A1:G74"/>
  <sheetViews>
    <sheetView tabSelected="1" zoomScale="120" zoomScaleNormal="120" workbookViewId="0">
      <selection activeCell="H4" sqref="H4"/>
    </sheetView>
  </sheetViews>
  <sheetFormatPr defaultRowHeight="14.4" x14ac:dyDescent="0.3"/>
  <cols>
    <col min="1" max="1" width="47.5546875" bestFit="1" customWidth="1"/>
    <col min="4" max="4" width="15.33203125" customWidth="1"/>
    <col min="5" max="5" width="15.6640625" customWidth="1"/>
  </cols>
  <sheetData>
    <row r="1" spans="1:7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 spans="1:7" x14ac:dyDescent="0.3">
      <c r="A2" t="s">
        <v>26</v>
      </c>
    </row>
    <row r="3" spans="1:7" x14ac:dyDescent="0.3">
      <c r="A3" s="2" t="s">
        <v>4</v>
      </c>
      <c r="B3">
        <v>45.5</v>
      </c>
      <c r="C3">
        <v>1</v>
      </c>
      <c r="D3">
        <f>B3*C3</f>
        <v>45.5</v>
      </c>
      <c r="G3">
        <v>1</v>
      </c>
    </row>
    <row r="4" spans="1:7" x14ac:dyDescent="0.3">
      <c r="A4" s="2" t="s">
        <v>6</v>
      </c>
      <c r="B4">
        <v>4</v>
      </c>
      <c r="C4">
        <v>1</v>
      </c>
      <c r="D4">
        <f t="shared" ref="D4:D42" si="0">B4*C4</f>
        <v>4</v>
      </c>
      <c r="G4">
        <v>1</v>
      </c>
    </row>
    <row r="5" spans="1:7" x14ac:dyDescent="0.3">
      <c r="A5" s="2" t="s">
        <v>7</v>
      </c>
      <c r="B5">
        <v>12</v>
      </c>
      <c r="C5">
        <v>1</v>
      </c>
      <c r="D5">
        <f t="shared" si="0"/>
        <v>12</v>
      </c>
    </row>
    <row r="6" spans="1:7" x14ac:dyDescent="0.3">
      <c r="A6" s="2" t="s">
        <v>5</v>
      </c>
      <c r="B6">
        <v>1.33</v>
      </c>
      <c r="C6">
        <v>1</v>
      </c>
      <c r="D6">
        <f t="shared" ref="D6:D12" si="1">B6*C6</f>
        <v>1.33</v>
      </c>
      <c r="G6">
        <v>8</v>
      </c>
    </row>
    <row r="7" spans="1:7" x14ac:dyDescent="0.3">
      <c r="A7" s="2" t="s">
        <v>35</v>
      </c>
      <c r="B7">
        <v>50</v>
      </c>
      <c r="C7">
        <v>1</v>
      </c>
      <c r="D7">
        <f t="shared" si="1"/>
        <v>50</v>
      </c>
      <c r="G7">
        <v>10</v>
      </c>
    </row>
    <row r="8" spans="1:7" x14ac:dyDescent="0.3">
      <c r="A8" s="2" t="s">
        <v>58</v>
      </c>
      <c r="B8">
        <v>1</v>
      </c>
      <c r="C8">
        <v>1</v>
      </c>
      <c r="D8">
        <f t="shared" si="1"/>
        <v>1</v>
      </c>
      <c r="G8">
        <v>10</v>
      </c>
    </row>
    <row r="9" spans="1:7" x14ac:dyDescent="0.3">
      <c r="A9" s="2" t="s">
        <v>59</v>
      </c>
      <c r="B9">
        <v>0.25</v>
      </c>
      <c r="C9">
        <v>0</v>
      </c>
      <c r="D9">
        <f t="shared" si="1"/>
        <v>0</v>
      </c>
    </row>
    <row r="10" spans="1:7" x14ac:dyDescent="0.3">
      <c r="A10" s="2" t="s">
        <v>60</v>
      </c>
      <c r="B10">
        <v>0.19</v>
      </c>
      <c r="C10">
        <v>0</v>
      </c>
      <c r="D10">
        <f t="shared" si="1"/>
        <v>0</v>
      </c>
    </row>
    <row r="11" spans="1:7" x14ac:dyDescent="0.3">
      <c r="A11" s="2" t="s">
        <v>61</v>
      </c>
      <c r="B11">
        <v>0.15</v>
      </c>
      <c r="C11">
        <v>0</v>
      </c>
      <c r="D11">
        <f t="shared" si="1"/>
        <v>0</v>
      </c>
    </row>
    <row r="12" spans="1:7" x14ac:dyDescent="0.3">
      <c r="A12" s="2" t="s">
        <v>27</v>
      </c>
      <c r="B12">
        <v>0.47</v>
      </c>
      <c r="C12">
        <v>8</v>
      </c>
      <c r="D12">
        <f t="shared" si="1"/>
        <v>3.76</v>
      </c>
      <c r="E12">
        <f>SUM(D3:D12)</f>
        <v>117.59</v>
      </c>
      <c r="G12">
        <v>5</v>
      </c>
    </row>
    <row r="13" spans="1:7" x14ac:dyDescent="0.3">
      <c r="A13" s="2"/>
    </row>
    <row r="14" spans="1:7" x14ac:dyDescent="0.3">
      <c r="A14" s="5" t="s">
        <v>28</v>
      </c>
    </row>
    <row r="15" spans="1:7" x14ac:dyDescent="0.3">
      <c r="A15" s="2" t="s">
        <v>9</v>
      </c>
      <c r="B15">
        <v>5.6</v>
      </c>
      <c r="C15">
        <v>1</v>
      </c>
      <c r="D15">
        <f>B15*C15</f>
        <v>5.6</v>
      </c>
    </row>
    <row r="16" spans="1:7" x14ac:dyDescent="0.3">
      <c r="A16" s="2" t="s">
        <v>29</v>
      </c>
      <c r="B16">
        <v>4.3</v>
      </c>
      <c r="C16">
        <v>1</v>
      </c>
      <c r="D16">
        <f>B16*C16</f>
        <v>4.3</v>
      </c>
    </row>
    <row r="17" spans="1:7" x14ac:dyDescent="0.3">
      <c r="A17" s="2" t="s">
        <v>8</v>
      </c>
      <c r="B17">
        <v>4.3</v>
      </c>
      <c r="C17">
        <v>1</v>
      </c>
      <c r="D17">
        <f t="shared" si="0"/>
        <v>4.3</v>
      </c>
      <c r="E17">
        <f>SUM(D15:D17)</f>
        <v>14.2</v>
      </c>
    </row>
    <row r="19" spans="1:7" x14ac:dyDescent="0.3">
      <c r="A19" t="s">
        <v>25</v>
      </c>
    </row>
    <row r="20" spans="1:7" x14ac:dyDescent="0.3">
      <c r="A20" s="2" t="s">
        <v>10</v>
      </c>
      <c r="B20">
        <v>0.4</v>
      </c>
      <c r="C20">
        <v>0</v>
      </c>
      <c r="D20">
        <f t="shared" si="0"/>
        <v>0</v>
      </c>
    </row>
    <row r="21" spans="1:7" x14ac:dyDescent="0.3">
      <c r="A21" s="2" t="s">
        <v>11</v>
      </c>
      <c r="B21">
        <v>0.45</v>
      </c>
      <c r="C21">
        <v>8</v>
      </c>
      <c r="D21">
        <f t="shared" si="0"/>
        <v>3.6</v>
      </c>
      <c r="G21">
        <v>0</v>
      </c>
    </row>
    <row r="22" spans="1:7" x14ac:dyDescent="0.3">
      <c r="A22" s="2" t="s">
        <v>12</v>
      </c>
      <c r="B22">
        <v>0.65</v>
      </c>
      <c r="C22">
        <v>2</v>
      </c>
      <c r="D22">
        <f t="shared" si="0"/>
        <v>1.3</v>
      </c>
      <c r="G22">
        <v>13</v>
      </c>
    </row>
    <row r="23" spans="1:7" x14ac:dyDescent="0.3">
      <c r="A23" s="2" t="s">
        <v>13</v>
      </c>
      <c r="B23">
        <v>1</v>
      </c>
      <c r="C23">
        <v>3</v>
      </c>
      <c r="D23">
        <f t="shared" si="0"/>
        <v>3</v>
      </c>
      <c r="E23">
        <f>SUM(D20:D23)</f>
        <v>7.9</v>
      </c>
      <c r="G23">
        <v>15</v>
      </c>
    </row>
    <row r="25" spans="1:7" x14ac:dyDescent="0.3">
      <c r="A25" t="s">
        <v>14</v>
      </c>
    </row>
    <row r="26" spans="1:7" s="2" customFormat="1" x14ac:dyDescent="0.3">
      <c r="A26" s="2" t="s">
        <v>16</v>
      </c>
      <c r="B26" s="3">
        <v>57.8</v>
      </c>
      <c r="C26" s="3">
        <v>1</v>
      </c>
      <c r="D26" s="3">
        <f t="shared" si="0"/>
        <v>57.8</v>
      </c>
    </row>
    <row r="27" spans="1:7" s="2" customFormat="1" x14ac:dyDescent="0.3">
      <c r="A27" s="2" t="s">
        <v>17</v>
      </c>
      <c r="B27" s="3">
        <v>0.01</v>
      </c>
      <c r="C27" s="3">
        <v>16</v>
      </c>
      <c r="D27" s="3">
        <f t="shared" si="0"/>
        <v>0.16</v>
      </c>
    </row>
    <row r="28" spans="1:7" s="2" customFormat="1" x14ac:dyDescent="0.3">
      <c r="A28" s="2" t="s">
        <v>18</v>
      </c>
      <c r="B28" s="3">
        <v>0.05</v>
      </c>
      <c r="C28" s="3">
        <v>16</v>
      </c>
      <c r="D28" s="3">
        <f t="shared" si="0"/>
        <v>0.8</v>
      </c>
    </row>
    <row r="29" spans="1:7" s="2" customFormat="1" x14ac:dyDescent="0.3">
      <c r="A29" s="2" t="s">
        <v>36</v>
      </c>
      <c r="B29" s="3">
        <v>0.3</v>
      </c>
      <c r="C29" s="3">
        <v>3</v>
      </c>
      <c r="D29" s="3">
        <f t="shared" si="0"/>
        <v>0.89999999999999991</v>
      </c>
    </row>
    <row r="30" spans="1:7" s="2" customFormat="1" x14ac:dyDescent="0.3">
      <c r="A30" s="2" t="s">
        <v>37</v>
      </c>
      <c r="B30" s="3">
        <v>1</v>
      </c>
      <c r="C30" s="3">
        <v>2</v>
      </c>
      <c r="D30" s="3">
        <f t="shared" si="0"/>
        <v>2</v>
      </c>
    </row>
    <row r="31" spans="1:7" s="2" customFormat="1" x14ac:dyDescent="0.3">
      <c r="A31" s="2" t="s">
        <v>15</v>
      </c>
      <c r="B31" s="3">
        <v>12</v>
      </c>
      <c r="C31" s="3">
        <v>1</v>
      </c>
      <c r="D31" s="3">
        <f t="shared" si="0"/>
        <v>12</v>
      </c>
    </row>
    <row r="32" spans="1:7" s="2" customFormat="1" x14ac:dyDescent="0.3">
      <c r="A32" s="2" t="s">
        <v>19</v>
      </c>
      <c r="B32" s="3">
        <v>5</v>
      </c>
      <c r="C32" s="3">
        <v>0</v>
      </c>
      <c r="D32" s="3">
        <f t="shared" si="0"/>
        <v>0</v>
      </c>
    </row>
    <row r="33" spans="1:5" s="2" customFormat="1" x14ac:dyDescent="0.3">
      <c r="A33" s="2" t="s">
        <v>20</v>
      </c>
      <c r="B33" s="3">
        <v>5</v>
      </c>
      <c r="C33" s="3">
        <v>0</v>
      </c>
      <c r="D33" s="3">
        <f t="shared" si="0"/>
        <v>0</v>
      </c>
    </row>
    <row r="34" spans="1:5" s="2" customFormat="1" x14ac:dyDescent="0.3">
      <c r="A34" s="2" t="s">
        <v>21</v>
      </c>
      <c r="B34" s="3">
        <v>3</v>
      </c>
      <c r="C34" s="3">
        <v>1</v>
      </c>
      <c r="D34" s="3">
        <f t="shared" si="0"/>
        <v>3</v>
      </c>
    </row>
    <row r="35" spans="1:5" s="2" customFormat="1" x14ac:dyDescent="0.3">
      <c r="A35" s="2" t="s">
        <v>22</v>
      </c>
      <c r="B35" s="3">
        <v>3</v>
      </c>
      <c r="C35" s="3">
        <v>1</v>
      </c>
      <c r="D35" s="3">
        <f t="shared" si="0"/>
        <v>3</v>
      </c>
    </row>
    <row r="36" spans="1:5" s="2" customFormat="1" x14ac:dyDescent="0.3">
      <c r="A36" s="2" t="s">
        <v>23</v>
      </c>
      <c r="B36" s="3">
        <v>3</v>
      </c>
      <c r="C36" s="3">
        <v>1</v>
      </c>
      <c r="D36" s="3">
        <f t="shared" si="0"/>
        <v>3</v>
      </c>
    </row>
    <row r="37" spans="1:5" s="2" customFormat="1" x14ac:dyDescent="0.3">
      <c r="A37" s="2" t="s">
        <v>24</v>
      </c>
      <c r="B37" s="3">
        <v>5</v>
      </c>
      <c r="C37" s="3">
        <v>1</v>
      </c>
      <c r="D37" s="3">
        <f t="shared" si="0"/>
        <v>5</v>
      </c>
      <c r="E37" s="3">
        <f>SUM(D26:D37)</f>
        <v>87.66</v>
      </c>
    </row>
    <row r="38" spans="1:5" s="2" customFormat="1" x14ac:dyDescent="0.3">
      <c r="B38" s="3"/>
      <c r="C38" s="3"/>
      <c r="D38" s="3"/>
      <c r="E38" s="3"/>
    </row>
    <row r="39" spans="1:5" s="2" customFormat="1" x14ac:dyDescent="0.3">
      <c r="A39" s="5" t="s">
        <v>31</v>
      </c>
      <c r="B39" s="3"/>
      <c r="C39" s="3"/>
      <c r="D39" s="3"/>
      <c r="E39" s="3"/>
    </row>
    <row r="40" spans="1:5" s="2" customFormat="1" x14ac:dyDescent="0.3">
      <c r="A40" s="2" t="s">
        <v>32</v>
      </c>
      <c r="B40" s="3">
        <v>2</v>
      </c>
      <c r="C40" s="3">
        <v>1</v>
      </c>
      <c r="D40" s="3">
        <f t="shared" si="0"/>
        <v>2</v>
      </c>
      <c r="E40" s="3"/>
    </row>
    <row r="41" spans="1:5" s="2" customFormat="1" x14ac:dyDescent="0.3">
      <c r="A41" s="2" t="s">
        <v>33</v>
      </c>
      <c r="B41" s="3">
        <v>1</v>
      </c>
      <c r="C41" s="3">
        <v>1</v>
      </c>
      <c r="D41" s="3">
        <f t="shared" si="0"/>
        <v>1</v>
      </c>
      <c r="E41" s="3"/>
    </row>
    <row r="42" spans="1:5" s="2" customFormat="1" x14ac:dyDescent="0.3">
      <c r="A42" s="2" t="s">
        <v>34</v>
      </c>
      <c r="B42" s="3">
        <v>0.12</v>
      </c>
      <c r="C42" s="3">
        <v>3</v>
      </c>
      <c r="D42" s="3">
        <f t="shared" si="0"/>
        <v>0.36</v>
      </c>
      <c r="E42" s="3">
        <f>SUM(D40:D42)</f>
        <v>3.36</v>
      </c>
    </row>
    <row r="43" spans="1:5" s="2" customFormat="1" x14ac:dyDescent="0.3">
      <c r="B43" s="3"/>
      <c r="C43" s="3"/>
      <c r="D43" s="3"/>
      <c r="E43" s="3"/>
    </row>
    <row r="44" spans="1:5" s="2" customFormat="1" x14ac:dyDescent="0.3">
      <c r="B44" s="3"/>
      <c r="C44" s="3"/>
      <c r="D44" s="3"/>
      <c r="E44" s="6">
        <f>SUM(D3:D45)</f>
        <v>230.71000000000004</v>
      </c>
    </row>
    <row r="45" spans="1:5" s="2" customFormat="1" x14ac:dyDescent="0.3">
      <c r="D45" s="3"/>
    </row>
    <row r="46" spans="1:5" x14ac:dyDescent="0.3">
      <c r="D46" s="3"/>
    </row>
    <row r="50" spans="1:2" x14ac:dyDescent="0.3">
      <c r="A50" t="s">
        <v>38</v>
      </c>
      <c r="B50">
        <v>695</v>
      </c>
    </row>
    <row r="51" spans="1:2" x14ac:dyDescent="0.3">
      <c r="A51" t="s">
        <v>39</v>
      </c>
      <c r="B51">
        <f>B50*0.8</f>
        <v>556</v>
      </c>
    </row>
    <row r="52" spans="1:2" x14ac:dyDescent="0.3">
      <c r="A52" t="s">
        <v>40</v>
      </c>
      <c r="B52">
        <f>B51-E44</f>
        <v>325.28999999999996</v>
      </c>
    </row>
    <row r="54" spans="1:2" x14ac:dyDescent="0.3">
      <c r="A54" t="s">
        <v>43</v>
      </c>
      <c r="B54">
        <v>120</v>
      </c>
    </row>
    <row r="55" spans="1:2" x14ac:dyDescent="0.3">
      <c r="A55" t="s">
        <v>41</v>
      </c>
      <c r="B55">
        <f>B54*B50</f>
        <v>83400</v>
      </c>
    </row>
    <row r="56" spans="1:2" x14ac:dyDescent="0.3">
      <c r="A56" t="s">
        <v>39</v>
      </c>
      <c r="B56">
        <f>B54*B51</f>
        <v>66720</v>
      </c>
    </row>
    <row r="57" spans="1:2" x14ac:dyDescent="0.3">
      <c r="A57" t="s">
        <v>42</v>
      </c>
      <c r="B57">
        <f>B54*B52</f>
        <v>39034.799999999996</v>
      </c>
    </row>
    <row r="58" spans="1:2" x14ac:dyDescent="0.3">
      <c r="A58" t="s">
        <v>44</v>
      </c>
      <c r="B58">
        <f>B55-B56</f>
        <v>16680</v>
      </c>
    </row>
    <row r="63" spans="1:2" x14ac:dyDescent="0.3">
      <c r="A63" s="4" t="s">
        <v>45</v>
      </c>
      <c r="B63" s="4">
        <v>20</v>
      </c>
    </row>
    <row r="64" spans="1:2" x14ac:dyDescent="0.3">
      <c r="A64" s="4" t="s">
        <v>46</v>
      </c>
      <c r="B64" s="4">
        <v>60</v>
      </c>
    </row>
    <row r="65" spans="1:3" x14ac:dyDescent="0.3">
      <c r="A65" s="4" t="s">
        <v>47</v>
      </c>
      <c r="B65" s="4">
        <v>10</v>
      </c>
    </row>
    <row r="66" spans="1:3" x14ac:dyDescent="0.3">
      <c r="A66" s="4" t="s">
        <v>48</v>
      </c>
      <c r="B66" s="4">
        <v>20</v>
      </c>
    </row>
    <row r="67" spans="1:3" x14ac:dyDescent="0.3">
      <c r="A67" s="4" t="s">
        <v>49</v>
      </c>
      <c r="B67" s="4">
        <v>30</v>
      </c>
    </row>
    <row r="68" spans="1:3" x14ac:dyDescent="0.3">
      <c r="A68" s="4" t="s">
        <v>50</v>
      </c>
      <c r="B68" s="4">
        <v>10</v>
      </c>
    </row>
    <row r="69" spans="1:3" x14ac:dyDescent="0.3">
      <c r="B69">
        <f>SUM(B63:B68)</f>
        <v>150</v>
      </c>
      <c r="C69" t="s">
        <v>55</v>
      </c>
    </row>
    <row r="71" spans="1:3" x14ac:dyDescent="0.3">
      <c r="A71" s="4" t="s">
        <v>51</v>
      </c>
      <c r="B71" s="4">
        <v>35</v>
      </c>
    </row>
    <row r="72" spans="1:3" x14ac:dyDescent="0.3">
      <c r="A72" s="4" t="s">
        <v>52</v>
      </c>
      <c r="B72">
        <f>B71/60*B69</f>
        <v>87.5</v>
      </c>
      <c r="C72" t="s">
        <v>56</v>
      </c>
    </row>
    <row r="73" spans="1:3" x14ac:dyDescent="0.3">
      <c r="A73" s="4" t="s">
        <v>53</v>
      </c>
      <c r="B73">
        <f>E44+B72</f>
        <v>318.21000000000004</v>
      </c>
      <c r="C73" t="s">
        <v>57</v>
      </c>
    </row>
    <row r="74" spans="1:3" x14ac:dyDescent="0.3">
      <c r="A74" s="4" t="s">
        <v>54</v>
      </c>
      <c r="B74">
        <f>B51-B73</f>
        <v>237.78999999999996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Schmitz</dc:creator>
  <cp:lastModifiedBy>Edward Schmitz</cp:lastModifiedBy>
  <dcterms:created xsi:type="dcterms:W3CDTF">2025-06-22T21:11:39Z</dcterms:created>
  <dcterms:modified xsi:type="dcterms:W3CDTF">2025-09-27T05:58:12Z</dcterms:modified>
</cp:coreProperties>
</file>